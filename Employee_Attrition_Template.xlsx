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_Analysis" sheetId="3" state="visible" r:id="rId3"/>
    <sheet xmlns:r="http://schemas.openxmlformats.org/officeDocument/2006/relationships" name="Formulas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A5276"/>
      <sz val="14"/>
    </font>
    <font>
      <name val="Arial"/>
      <b val="1"/>
      <color rgb="00117A65"/>
      <sz val="11"/>
    </font>
    <font>
      <name val="Arial"/>
      <sz val="10"/>
    </font>
    <font>
      <name val="Arial"/>
      <color rgb="00C0392B"/>
      <sz val="10"/>
    </font>
    <font>
      <name val="Arial"/>
      <b val="1"/>
      <color rgb="00C0392B"/>
      <sz val="10"/>
    </font>
    <font>
      <name val="Arial"/>
      <b val="1"/>
      <color rgb="00000000"/>
      <sz val="10"/>
    </font>
    <font>
      <name val="Arial"/>
      <b val="1"/>
      <color rgb="001E8449"/>
      <sz val="10"/>
    </font>
    <font>
      <name val="Arial"/>
      <b val="1"/>
      <sz val="10"/>
    </font>
    <font>
      <name val="Arial"/>
      <b val="1"/>
      <color rgb="00C0392B"/>
      <sz val="11"/>
    </font>
    <font>
      <name val="Arial"/>
      <color rgb="00117A65"/>
      <sz val="10"/>
    </font>
    <font>
      <name val="Arial"/>
      <color rgb="001A5276"/>
      <sz val="10"/>
    </font>
    <font>
      <name val="Arial"/>
      <b val="1"/>
      <color rgb="001A5276"/>
      <sz val="13"/>
    </font>
    <font>
      <name val="Arial"/>
      <b val="1"/>
      <color rgb="00117A65"/>
      <sz val="10"/>
    </font>
    <font>
      <name val="Courier New"/>
      <color rgb="00006400"/>
      <sz val="9"/>
    </font>
  </fonts>
  <fills count="1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117A65"/>
      </patternFill>
    </fill>
    <fill>
      <patternFill patternType="solid">
        <fgColor rgb="00E67E22"/>
      </patternFill>
    </fill>
    <fill>
      <patternFill patternType="solid">
        <fgColor rgb="00F9E79F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D1F2EB"/>
      </patternFill>
    </fill>
    <fill>
      <patternFill patternType="solid">
        <fgColor rgb="001E1E1E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11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5" fillId="3" borderId="1" pivotButton="0" quotePrefix="0" xfId="0"/>
    <xf numFmtId="164" fontId="10" fillId="3" borderId="1" applyAlignment="1" pivotButton="0" quotePrefix="0" xfId="0">
      <alignment horizontal="center"/>
    </xf>
    <xf numFmtId="0" fontId="5" fillId="9" borderId="1" pivotButton="0" quotePrefix="0" xfId="0"/>
    <xf numFmtId="164" fontId="10" fillId="9" borderId="1" applyAlignment="1" pivotButton="0" quotePrefix="0" xfId="0">
      <alignment horizontal="center"/>
    </xf>
    <xf numFmtId="0" fontId="5" fillId="7" borderId="1" pivotButton="0" quotePrefix="0" xfId="0"/>
    <xf numFmtId="164" fontId="10" fillId="7" borderId="1" applyAlignment="1" pivotButton="0" quotePrefix="0" xfId="0">
      <alignment horizontal="center"/>
    </xf>
    <xf numFmtId="0" fontId="5" fillId="10" borderId="1" pivotButton="0" quotePrefix="0" xfId="0"/>
    <xf numFmtId="164" fontId="10" fillId="10" borderId="1" applyAlignment="1" pivotButton="0" quotePrefix="0" xfId="0">
      <alignment horizontal="center"/>
    </xf>
    <xf numFmtId="0" fontId="11" fillId="0" borderId="0" pivotButton="0" quotePrefix="0" xfId="0"/>
    <xf numFmtId="0" fontId="12" fillId="1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13" fillId="8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/>
    </xf>
    <xf numFmtId="0" fontId="15" fillId="12" borderId="1" applyAlignment="1" pivotButton="0" quotePrefix="0" xfId="0">
      <alignment horizontal="left" indent="1"/>
    </xf>
    <xf numFmtId="0" fontId="16" fillId="13" borderId="1" applyAlignment="1" pivotButton="0" quotePrefix="0" xfId="0">
      <alignment horizontal="left" wrapText="1" indent="1"/>
    </xf>
    <xf numFmtId="0" fontId="5" fillId="11" borderId="1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EmployeeNumber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MonthlyIncome</t>
        </is>
      </c>
      <c r="G1" s="1" t="inlineStr">
        <is>
          <t>JobSatisfaction</t>
        </is>
      </c>
      <c r="H1" s="1" t="inlineStr">
        <is>
          <t>OverTime</t>
        </is>
      </c>
      <c r="I1" s="1" t="inlineStr">
        <is>
          <t>WorkLifeBalance</t>
        </is>
      </c>
      <c r="J1" s="1" t="inlineStr">
        <is>
          <t>YearsAtCompany</t>
        </is>
      </c>
      <c r="K1" s="1" t="inlineStr">
        <is>
          <t>EducationField</t>
        </is>
      </c>
      <c r="L1" s="1" t="inlineStr">
        <is>
          <t>MaritalStatus</t>
        </is>
      </c>
      <c r="M1" s="1" t="inlineStr">
        <is>
          <t>Gender</t>
        </is>
      </c>
    </row>
    <row r="2">
      <c r="A2" s="2" t="n">
        <v>1</v>
      </c>
      <c r="B2" s="2" t="n">
        <v>41</v>
      </c>
      <c r="C2" s="2" t="inlineStr">
        <is>
          <t>Yes</t>
        </is>
      </c>
      <c r="D2" s="2" t="inlineStr">
        <is>
          <t>Sales</t>
        </is>
      </c>
      <c r="E2" s="2" t="inlineStr">
        <is>
          <t>Sales Executive</t>
        </is>
      </c>
      <c r="F2" s="2" t="n">
        <v>5993</v>
      </c>
      <c r="G2" s="2" t="n">
        <v>4</v>
      </c>
      <c r="H2" s="2" t="inlineStr">
        <is>
          <t>Yes</t>
        </is>
      </c>
      <c r="I2" s="2" t="n">
        <v>1</v>
      </c>
      <c r="J2" s="2" t="n">
        <v>6</v>
      </c>
      <c r="K2" s="2" t="inlineStr">
        <is>
          <t>Life Sciences</t>
        </is>
      </c>
      <c r="L2" s="2" t="inlineStr">
        <is>
          <t>Single</t>
        </is>
      </c>
      <c r="M2" s="2" t="inlineStr">
        <is>
          <t>Female</t>
        </is>
      </c>
    </row>
    <row r="3">
      <c r="A3" s="3" t="n">
        <v>2</v>
      </c>
      <c r="B3" s="3" t="n">
        <v>49</v>
      </c>
      <c r="C3" s="3" t="inlineStr">
        <is>
          <t>No</t>
        </is>
      </c>
      <c r="D3" s="3" t="inlineStr">
        <is>
          <t>Research &amp; Development</t>
        </is>
      </c>
      <c r="E3" s="3" t="inlineStr">
        <is>
          <t>Research Scientist</t>
        </is>
      </c>
      <c r="F3" s="3" t="n">
        <v>5130</v>
      </c>
      <c r="G3" s="3" t="n">
        <v>2</v>
      </c>
      <c r="H3" s="3" t="inlineStr">
        <is>
          <t>No</t>
        </is>
      </c>
      <c r="I3" s="3" t="n">
        <v>3</v>
      </c>
      <c r="J3" s="3" t="n">
        <v>10</v>
      </c>
      <c r="K3" s="3" t="inlineStr">
        <is>
          <t>Life Sciences</t>
        </is>
      </c>
      <c r="L3" s="3" t="inlineStr">
        <is>
          <t>Married</t>
        </is>
      </c>
      <c r="M3" s="3" t="inlineStr">
        <is>
          <t>Male</t>
        </is>
      </c>
    </row>
    <row r="4">
      <c r="A4" s="2" t="n">
        <v>3</v>
      </c>
      <c r="B4" s="2" t="n">
        <v>37</v>
      </c>
      <c r="C4" s="2" t="inlineStr">
        <is>
          <t>Yes</t>
        </is>
      </c>
      <c r="D4" s="2" t="inlineStr">
        <is>
          <t>Research &amp; Development</t>
        </is>
      </c>
      <c r="E4" s="2" t="inlineStr">
        <is>
          <t>Laboratory Technician</t>
        </is>
      </c>
      <c r="F4" s="2" t="n">
        <v>2090</v>
      </c>
      <c r="G4" s="2" t="n">
        <v>3</v>
      </c>
      <c r="H4" s="2" t="inlineStr">
        <is>
          <t>Yes</t>
        </is>
      </c>
      <c r="I4" s="2" t="n">
        <v>3</v>
      </c>
      <c r="J4" s="2" t="n">
        <v>0</v>
      </c>
      <c r="K4" s="2" t="inlineStr">
        <is>
          <t>Other</t>
        </is>
      </c>
      <c r="L4" s="2" t="inlineStr">
        <is>
          <t>Single</t>
        </is>
      </c>
      <c r="M4" s="2" t="inlineStr">
        <is>
          <t>Male</t>
        </is>
      </c>
    </row>
    <row r="5">
      <c r="A5" s="3" t="n">
        <v>4</v>
      </c>
      <c r="B5" s="3" t="n">
        <v>33</v>
      </c>
      <c r="C5" s="3" t="inlineStr">
        <is>
          <t>No</t>
        </is>
      </c>
      <c r="D5" s="3" t="inlineStr">
        <is>
          <t>Research &amp; Development</t>
        </is>
      </c>
      <c r="E5" s="3" t="inlineStr">
        <is>
          <t>Research Scientist</t>
        </is>
      </c>
      <c r="F5" s="3" t="n">
        <v>2909</v>
      </c>
      <c r="G5" s="3" t="n">
        <v>3</v>
      </c>
      <c r="H5" s="3" t="inlineStr">
        <is>
          <t>Yes</t>
        </is>
      </c>
      <c r="I5" s="3" t="n">
        <v>3</v>
      </c>
      <c r="J5" s="3" t="n">
        <v>8</v>
      </c>
      <c r="K5" s="3" t="inlineStr">
        <is>
          <t>Life Sciences</t>
        </is>
      </c>
      <c r="L5" s="3" t="inlineStr">
        <is>
          <t>Married</t>
        </is>
      </c>
      <c r="M5" s="3" t="inlineStr">
        <is>
          <t>Female</t>
        </is>
      </c>
    </row>
    <row r="6">
      <c r="A6" s="3" t="n">
        <v>5</v>
      </c>
      <c r="B6" s="3" t="n">
        <v>27</v>
      </c>
      <c r="C6" s="3" t="inlineStr">
        <is>
          <t>No</t>
        </is>
      </c>
      <c r="D6" s="3" t="inlineStr">
        <is>
          <t>Research &amp; Development</t>
        </is>
      </c>
      <c r="E6" s="3" t="inlineStr">
        <is>
          <t>Laboratory Technician</t>
        </is>
      </c>
      <c r="F6" s="3" t="n">
        <v>3468</v>
      </c>
      <c r="G6" s="3" t="n">
        <v>4</v>
      </c>
      <c r="H6" s="3" t="inlineStr">
        <is>
          <t>No</t>
        </is>
      </c>
      <c r="I6" s="3" t="n">
        <v>3</v>
      </c>
      <c r="J6" s="3" t="n">
        <v>2</v>
      </c>
      <c r="K6" s="3" t="inlineStr">
        <is>
          <t>Medical</t>
        </is>
      </c>
      <c r="L6" s="3" t="inlineStr">
        <is>
          <t>Married</t>
        </is>
      </c>
      <c r="M6" s="3" t="inlineStr">
        <is>
          <t>Male</t>
        </is>
      </c>
    </row>
    <row r="7">
      <c r="A7" s="3" t="n">
        <v>6</v>
      </c>
      <c r="B7" s="3" t="n">
        <v>32</v>
      </c>
      <c r="C7" s="3" t="inlineStr">
        <is>
          <t>No</t>
        </is>
      </c>
      <c r="D7" s="3" t="inlineStr">
        <is>
          <t>Research &amp; Development</t>
        </is>
      </c>
      <c r="E7" s="3" t="inlineStr">
        <is>
          <t>Laboratory Technician</t>
        </is>
      </c>
      <c r="F7" s="3" t="n">
        <v>3068</v>
      </c>
      <c r="G7" s="3" t="n">
        <v>1</v>
      </c>
      <c r="H7" s="3" t="inlineStr">
        <is>
          <t>No</t>
        </is>
      </c>
      <c r="I7" s="3" t="n">
        <v>2</v>
      </c>
      <c r="J7" s="3" t="n">
        <v>7</v>
      </c>
      <c r="K7" s="3" t="inlineStr">
        <is>
          <t>Life Sciences</t>
        </is>
      </c>
      <c r="L7" s="3" t="inlineStr">
        <is>
          <t>Single</t>
        </is>
      </c>
      <c r="M7" s="3" t="inlineStr">
        <is>
          <t>Male</t>
        </is>
      </c>
    </row>
    <row r="8">
      <c r="A8" s="3" t="n">
        <v>7</v>
      </c>
      <c r="B8" s="3" t="n">
        <v>59</v>
      </c>
      <c r="C8" s="3" t="inlineStr">
        <is>
          <t>No</t>
        </is>
      </c>
      <c r="D8" s="3" t="inlineStr">
        <is>
          <t>Research &amp; Development</t>
        </is>
      </c>
      <c r="E8" s="3" t="inlineStr">
        <is>
          <t>Research Scientist</t>
        </is>
      </c>
      <c r="F8" s="3" t="n">
        <v>2670</v>
      </c>
      <c r="G8" s="3" t="n">
        <v>3</v>
      </c>
      <c r="H8" s="3" t="inlineStr">
        <is>
          <t>Yes</t>
        </is>
      </c>
      <c r="I8" s="3" t="n">
        <v>2</v>
      </c>
      <c r="J8" s="3" t="n">
        <v>1</v>
      </c>
      <c r="K8" s="3" t="inlineStr">
        <is>
          <t>Medical</t>
        </is>
      </c>
      <c r="L8" s="3" t="inlineStr">
        <is>
          <t>Married</t>
        </is>
      </c>
      <c r="M8" s="3" t="inlineStr">
        <is>
          <t>Female</t>
        </is>
      </c>
    </row>
    <row r="9">
      <c r="A9" s="3" t="n">
        <v>8</v>
      </c>
      <c r="B9" s="3" t="n">
        <v>30</v>
      </c>
      <c r="C9" s="3" t="inlineStr">
        <is>
          <t>No</t>
        </is>
      </c>
      <c r="D9" s="3" t="inlineStr">
        <is>
          <t>Research &amp; Development</t>
        </is>
      </c>
      <c r="E9" s="3" t="inlineStr">
        <is>
          <t>Laboratory Technician</t>
        </is>
      </c>
      <c r="F9" s="3" t="n">
        <v>2693</v>
      </c>
      <c r="G9" s="3" t="n">
        <v>4</v>
      </c>
      <c r="H9" s="3" t="inlineStr">
        <is>
          <t>No</t>
        </is>
      </c>
      <c r="I9" s="3" t="n">
        <v>3</v>
      </c>
      <c r="J9" s="3" t="n">
        <v>1</v>
      </c>
      <c r="K9" s="3" t="inlineStr">
        <is>
          <t>Life Sciences</t>
        </is>
      </c>
      <c r="L9" s="3" t="inlineStr">
        <is>
          <t>Divorced</t>
        </is>
      </c>
      <c r="M9" s="3" t="inlineStr">
        <is>
          <t>Male</t>
        </is>
      </c>
    </row>
    <row r="10">
      <c r="A10" s="3" t="n">
        <v>9</v>
      </c>
      <c r="B10" s="3" t="n">
        <v>38</v>
      </c>
      <c r="C10" s="3" t="inlineStr">
        <is>
          <t>No</t>
        </is>
      </c>
      <c r="D10" s="3" t="inlineStr">
        <is>
          <t>Research &amp; Development</t>
        </is>
      </c>
      <c r="E10" s="3" t="inlineStr">
        <is>
          <t>Laboratory Technician</t>
        </is>
      </c>
      <c r="F10" s="3" t="n">
        <v>9526</v>
      </c>
      <c r="G10" s="3" t="n">
        <v>4</v>
      </c>
      <c r="H10" s="3" t="inlineStr">
        <is>
          <t>No</t>
        </is>
      </c>
      <c r="I10" s="3" t="n">
        <v>3</v>
      </c>
      <c r="J10" s="3" t="n">
        <v>9</v>
      </c>
      <c r="K10" s="3" t="inlineStr">
        <is>
          <t>Medical</t>
        </is>
      </c>
      <c r="L10" s="3" t="inlineStr">
        <is>
          <t>Single</t>
        </is>
      </c>
      <c r="M10" s="3" t="inlineStr">
        <is>
          <t>Male</t>
        </is>
      </c>
    </row>
    <row r="11">
      <c r="A11" s="3" t="n">
        <v>10</v>
      </c>
      <c r="B11" s="3" t="n">
        <v>36</v>
      </c>
      <c r="C11" s="3" t="inlineStr">
        <is>
          <t>No</t>
        </is>
      </c>
      <c r="D11" s="3" t="inlineStr">
        <is>
          <t>Research &amp; Development</t>
        </is>
      </c>
      <c r="E11" s="3" t="inlineStr">
        <is>
          <t>Laboratory Technician</t>
        </is>
      </c>
      <c r="F11" s="3" t="n">
        <v>5237</v>
      </c>
      <c r="G11" s="3" t="n">
        <v>4</v>
      </c>
      <c r="H11" s="3" t="inlineStr">
        <is>
          <t>No</t>
        </is>
      </c>
      <c r="I11" s="3" t="n">
        <v>3</v>
      </c>
      <c r="J11" s="3" t="n">
        <v>7</v>
      </c>
      <c r="K11" s="3" t="inlineStr">
        <is>
          <t>Life Sciences</t>
        </is>
      </c>
      <c r="L11" s="3" t="inlineStr">
        <is>
          <t>Married</t>
        </is>
      </c>
      <c r="M11" s="3" t="inlineStr">
        <is>
          <t>Male</t>
        </is>
      </c>
    </row>
    <row r="12">
      <c r="A12" s="3" t="n">
        <v>11</v>
      </c>
      <c r="B12" s="3" t="n">
        <v>35</v>
      </c>
      <c r="C12" s="3" t="inlineStr">
        <is>
          <t>No</t>
        </is>
      </c>
      <c r="D12" s="3" t="inlineStr">
        <is>
          <t>Sales</t>
        </is>
      </c>
      <c r="E12" s="3" t="inlineStr">
        <is>
          <t>Sales Executive</t>
        </is>
      </c>
      <c r="F12" s="3" t="n">
        <v>2426</v>
      </c>
      <c r="G12" s="3" t="n">
        <v>3</v>
      </c>
      <c r="H12" s="3" t="inlineStr">
        <is>
          <t>No</t>
        </is>
      </c>
      <c r="I12" s="3" t="n">
        <v>3</v>
      </c>
      <c r="J12" s="3" t="n">
        <v>5</v>
      </c>
      <c r="K12" s="3" t="inlineStr">
        <is>
          <t>Medical</t>
        </is>
      </c>
      <c r="L12" s="3" t="inlineStr">
        <is>
          <t>Divorced</t>
        </is>
      </c>
      <c r="M12" s="3" t="inlineStr">
        <is>
          <t>Male</t>
        </is>
      </c>
    </row>
    <row r="13">
      <c r="A13" s="3" t="n">
        <v>12</v>
      </c>
      <c r="B13" s="3" t="n">
        <v>29</v>
      </c>
      <c r="C13" s="3" t="inlineStr">
        <is>
          <t>No</t>
        </is>
      </c>
      <c r="D13" s="3" t="inlineStr">
        <is>
          <t>Research &amp; Development</t>
        </is>
      </c>
      <c r="E13" s="3" t="inlineStr">
        <is>
          <t>Research Scientist</t>
        </is>
      </c>
      <c r="F13" s="3" t="n">
        <v>4054</v>
      </c>
      <c r="G13" s="3" t="n">
        <v>3</v>
      </c>
      <c r="H13" s="3" t="inlineStr">
        <is>
          <t>No</t>
        </is>
      </c>
      <c r="I13" s="3" t="n">
        <v>3</v>
      </c>
      <c r="J13" s="3" t="n">
        <v>9</v>
      </c>
      <c r="K13" s="3" t="inlineStr">
        <is>
          <t>Life Sciences</t>
        </is>
      </c>
      <c r="L13" s="3" t="inlineStr">
        <is>
          <t>Married</t>
        </is>
      </c>
      <c r="M13" s="3" t="inlineStr">
        <is>
          <t>Male</t>
        </is>
      </c>
    </row>
    <row r="14">
      <c r="A14" s="3" t="n">
        <v>13</v>
      </c>
      <c r="B14" s="3" t="n">
        <v>31</v>
      </c>
      <c r="C14" s="3" t="inlineStr">
        <is>
          <t>No</t>
        </is>
      </c>
      <c r="D14" s="3" t="inlineStr">
        <is>
          <t>Research &amp; Development</t>
        </is>
      </c>
      <c r="E14" s="3" t="inlineStr">
        <is>
          <t>Laboratory Technician</t>
        </is>
      </c>
      <c r="F14" s="3" t="n">
        <v>1278</v>
      </c>
      <c r="G14" s="3" t="n">
        <v>2</v>
      </c>
      <c r="H14" s="3" t="inlineStr">
        <is>
          <t>No</t>
        </is>
      </c>
      <c r="I14" s="3" t="n">
        <v>2</v>
      </c>
      <c r="J14" s="3" t="n">
        <v>5</v>
      </c>
      <c r="K14" s="3" t="inlineStr">
        <is>
          <t>Medical</t>
        </is>
      </c>
      <c r="L14" s="3" t="inlineStr">
        <is>
          <t>Divorced</t>
        </is>
      </c>
      <c r="M14" s="3" t="inlineStr">
        <is>
          <t>Female</t>
        </is>
      </c>
    </row>
    <row r="15">
      <c r="A15" s="2" t="n">
        <v>14</v>
      </c>
      <c r="B15" s="2" t="n">
        <v>34</v>
      </c>
      <c r="C15" s="2" t="inlineStr">
        <is>
          <t>Yes</t>
        </is>
      </c>
      <c r="D15" s="2" t="inlineStr">
        <is>
          <t>Sales</t>
        </is>
      </c>
      <c r="E15" s="2" t="inlineStr">
        <is>
          <t>Sales Representative</t>
        </is>
      </c>
      <c r="F15" s="2" t="n">
        <v>2499</v>
      </c>
      <c r="G15" s="2" t="n">
        <v>3</v>
      </c>
      <c r="H15" s="2" t="inlineStr">
        <is>
          <t>Yes</t>
        </is>
      </c>
      <c r="I15" s="2" t="n">
        <v>3</v>
      </c>
      <c r="J15" s="2" t="n">
        <v>0</v>
      </c>
      <c r="K15" s="2" t="inlineStr">
        <is>
          <t>Marketing</t>
        </is>
      </c>
      <c r="L15" s="2" t="inlineStr">
        <is>
          <t>Single</t>
        </is>
      </c>
      <c r="M15" s="2" t="inlineStr">
        <is>
          <t>Male</t>
        </is>
      </c>
    </row>
    <row r="16">
      <c r="A16" s="3" t="n">
        <v>15</v>
      </c>
      <c r="B16" s="3" t="n">
        <v>28</v>
      </c>
      <c r="C16" s="3" t="inlineStr">
        <is>
          <t>No</t>
        </is>
      </c>
      <c r="D16" s="3" t="inlineStr">
        <is>
          <t>Research &amp; Development</t>
        </is>
      </c>
      <c r="E16" s="3" t="inlineStr">
        <is>
          <t>Research Scientist</t>
        </is>
      </c>
      <c r="F16" s="3" t="n">
        <v>7567</v>
      </c>
      <c r="G16" s="3" t="n">
        <v>4</v>
      </c>
      <c r="H16" s="3" t="inlineStr">
        <is>
          <t>Yes</t>
        </is>
      </c>
      <c r="I16" s="3" t="n">
        <v>3</v>
      </c>
      <c r="J16" s="3" t="n">
        <v>2</v>
      </c>
      <c r="K16" s="3" t="inlineStr">
        <is>
          <t>Life Sciences</t>
        </is>
      </c>
      <c r="L16" s="3" t="inlineStr">
        <is>
          <t>Married</t>
        </is>
      </c>
      <c r="M16" s="3" t="inlineStr">
        <is>
          <t>Female</t>
        </is>
      </c>
    </row>
    <row r="17">
      <c r="A17" s="3" t="n">
        <v>16</v>
      </c>
      <c r="B17" s="3" t="n">
        <v>29</v>
      </c>
      <c r="C17" s="3" t="inlineStr">
        <is>
          <t>No</t>
        </is>
      </c>
      <c r="D17" s="3" t="inlineStr">
        <is>
          <t>Research &amp; Development</t>
        </is>
      </c>
      <c r="E17" s="3" t="inlineStr">
        <is>
          <t>Laboratory Technician</t>
        </is>
      </c>
      <c r="F17" s="3" t="n">
        <v>6142</v>
      </c>
      <c r="G17" s="3" t="n">
        <v>3</v>
      </c>
      <c r="H17" s="3" t="inlineStr">
        <is>
          <t>No</t>
        </is>
      </c>
      <c r="I17" s="3" t="n">
        <v>3</v>
      </c>
      <c r="J17" s="3" t="n">
        <v>7</v>
      </c>
      <c r="K17" s="3" t="inlineStr">
        <is>
          <t>Medical</t>
        </is>
      </c>
      <c r="L17" s="3" t="inlineStr">
        <is>
          <t>Married</t>
        </is>
      </c>
      <c r="M17" s="3" t="inlineStr">
        <is>
          <t>Male</t>
        </is>
      </c>
    </row>
    <row r="18">
      <c r="A18" s="3" t="n">
        <v>17</v>
      </c>
      <c r="B18" s="3" t="n">
        <v>32</v>
      </c>
      <c r="C18" s="3" t="inlineStr">
        <is>
          <t>No</t>
        </is>
      </c>
      <c r="D18" s="3" t="inlineStr">
        <is>
          <t>Sales</t>
        </is>
      </c>
      <c r="E18" s="3" t="inlineStr">
        <is>
          <t>Sales Executive</t>
        </is>
      </c>
      <c r="F18" s="3" t="n">
        <v>5390</v>
      </c>
      <c r="G18" s="3" t="n">
        <v>3</v>
      </c>
      <c r="H18" s="3" t="inlineStr">
        <is>
          <t>No</t>
        </is>
      </c>
      <c r="I18" s="3" t="n">
        <v>3</v>
      </c>
      <c r="J18" s="3" t="n">
        <v>4</v>
      </c>
      <c r="K18" s="3" t="inlineStr">
        <is>
          <t>Marketing</t>
        </is>
      </c>
      <c r="L18" s="3" t="inlineStr">
        <is>
          <t>Married</t>
        </is>
      </c>
      <c r="M18" s="3" t="inlineStr">
        <is>
          <t>Male</t>
        </is>
      </c>
    </row>
    <row r="19">
      <c r="A19" s="3" t="n">
        <v>18</v>
      </c>
      <c r="B19" s="3" t="n">
        <v>22</v>
      </c>
      <c r="C19" s="3" t="inlineStr">
        <is>
          <t>No</t>
        </is>
      </c>
      <c r="D19" s="3" t="inlineStr">
        <is>
          <t>Research &amp; Development</t>
        </is>
      </c>
      <c r="E19" s="3" t="inlineStr">
        <is>
          <t>Laboratory Technician</t>
        </is>
      </c>
      <c r="F19" s="3" t="n">
        <v>4404</v>
      </c>
      <c r="G19" s="3" t="n">
        <v>3</v>
      </c>
      <c r="H19" s="3" t="inlineStr">
        <is>
          <t>No</t>
        </is>
      </c>
      <c r="I19" s="3" t="n">
        <v>2</v>
      </c>
      <c r="J19" s="3" t="n">
        <v>0</v>
      </c>
      <c r="K19" s="3" t="inlineStr">
        <is>
          <t>Life Sciences</t>
        </is>
      </c>
      <c r="L19" s="3" t="inlineStr">
        <is>
          <t>Single</t>
        </is>
      </c>
      <c r="M19" s="3" t="inlineStr">
        <is>
          <t>Male</t>
        </is>
      </c>
    </row>
    <row r="20">
      <c r="A20" s="3" t="n">
        <v>19</v>
      </c>
      <c r="B20" s="3" t="n">
        <v>53</v>
      </c>
      <c r="C20" s="3" t="inlineStr">
        <is>
          <t>No</t>
        </is>
      </c>
      <c r="D20" s="3" t="inlineStr">
        <is>
          <t>Research &amp; Development</t>
        </is>
      </c>
      <c r="E20" s="3" t="inlineStr">
        <is>
          <t>Research Scientist</t>
        </is>
      </c>
      <c r="F20" s="3" t="n">
        <v>7484</v>
      </c>
      <c r="G20" s="3" t="n">
        <v>4</v>
      </c>
      <c r="H20" s="3" t="inlineStr">
        <is>
          <t>No</t>
        </is>
      </c>
      <c r="I20" s="3" t="n">
        <v>3</v>
      </c>
      <c r="J20" s="3" t="n">
        <v>27</v>
      </c>
      <c r="K20" s="3" t="inlineStr">
        <is>
          <t>Other</t>
        </is>
      </c>
      <c r="L20" s="3" t="inlineStr">
        <is>
          <t>Married</t>
        </is>
      </c>
      <c r="M20" s="3" t="inlineStr">
        <is>
          <t>Female</t>
        </is>
      </c>
    </row>
    <row r="21">
      <c r="A21" s="3" t="n">
        <v>20</v>
      </c>
      <c r="B21" s="3" t="n">
        <v>38</v>
      </c>
      <c r="C21" s="3" t="inlineStr">
        <is>
          <t>No</t>
        </is>
      </c>
      <c r="D21" s="3" t="inlineStr">
        <is>
          <t>Human Resources</t>
        </is>
      </c>
      <c r="E21" s="3" t="inlineStr">
        <is>
          <t>Human Resources</t>
        </is>
      </c>
      <c r="F21" s="3" t="n">
        <v>3567</v>
      </c>
      <c r="G21" s="3" t="n">
        <v>3</v>
      </c>
      <c r="H21" s="3" t="inlineStr">
        <is>
          <t>No</t>
        </is>
      </c>
      <c r="I21" s="3" t="n">
        <v>3</v>
      </c>
      <c r="J21" s="3" t="n">
        <v>7</v>
      </c>
      <c r="K21" s="3" t="inlineStr">
        <is>
          <t>Human Resources</t>
        </is>
      </c>
      <c r="L21" s="3" t="inlineStr">
        <is>
          <t>Married</t>
        </is>
      </c>
      <c r="M21" s="3" t="inlineStr">
        <is>
          <t>Male</t>
        </is>
      </c>
    </row>
    <row r="22">
      <c r="A22" s="2" t="n">
        <v>21</v>
      </c>
      <c r="B22" s="2" t="n">
        <v>24</v>
      </c>
      <c r="C22" s="2" t="inlineStr">
        <is>
          <t>Yes</t>
        </is>
      </c>
      <c r="D22" s="2" t="inlineStr">
        <is>
          <t>Sales</t>
        </is>
      </c>
      <c r="E22" s="2" t="inlineStr">
        <is>
          <t>Sales Representative</t>
        </is>
      </c>
      <c r="F22" s="2" t="n">
        <v>1500</v>
      </c>
      <c r="G22" s="2" t="n">
        <v>1</v>
      </c>
      <c r="H22" s="2" t="inlineStr">
        <is>
          <t>Yes</t>
        </is>
      </c>
      <c r="I22" s="2" t="n">
        <v>1</v>
      </c>
      <c r="J22" s="2" t="n">
        <v>0</v>
      </c>
      <c r="K22" s="2" t="inlineStr">
        <is>
          <t>Marketing</t>
        </is>
      </c>
      <c r="L22" s="2" t="inlineStr">
        <is>
          <t>Single</t>
        </is>
      </c>
      <c r="M22" s="2" t="inlineStr">
        <is>
          <t>Male</t>
        </is>
      </c>
    </row>
    <row r="23">
      <c r="A23" s="3" t="n">
        <v>22</v>
      </c>
      <c r="B23" s="3" t="n">
        <v>45</v>
      </c>
      <c r="C23" s="3" t="inlineStr">
        <is>
          <t>No</t>
        </is>
      </c>
      <c r="D23" s="3" t="inlineStr">
        <is>
          <t>Research &amp; Development</t>
        </is>
      </c>
      <c r="E23" s="3" t="inlineStr">
        <is>
          <t>Research Scientist</t>
        </is>
      </c>
      <c r="F23" s="3" t="n">
        <v>8900</v>
      </c>
      <c r="G23" s="3" t="n">
        <v>4</v>
      </c>
      <c r="H23" s="3" t="inlineStr">
        <is>
          <t>No</t>
        </is>
      </c>
      <c r="I23" s="3" t="n">
        <v>4</v>
      </c>
      <c r="J23" s="3" t="n">
        <v>18</v>
      </c>
      <c r="K23" s="3" t="inlineStr">
        <is>
          <t>Medical</t>
        </is>
      </c>
      <c r="L23" s="3" t="inlineStr">
        <is>
          <t>Married</t>
        </is>
      </c>
      <c r="M23" s="3" t="inlineStr">
        <is>
          <t>Male</t>
        </is>
      </c>
    </row>
    <row r="24">
      <c r="A24" s="2" t="n">
        <v>23</v>
      </c>
      <c r="B24" s="2" t="n">
        <v>26</v>
      </c>
      <c r="C24" s="2" t="inlineStr">
        <is>
          <t>Yes</t>
        </is>
      </c>
      <c r="D24" s="2" t="inlineStr">
        <is>
          <t>Sales</t>
        </is>
      </c>
      <c r="E24" s="2" t="inlineStr">
        <is>
          <t>Sales Representative</t>
        </is>
      </c>
      <c r="F24" s="2" t="n">
        <v>2100</v>
      </c>
      <c r="G24" s="2" t="n">
        <v>1</v>
      </c>
      <c r="H24" s="2" t="inlineStr">
        <is>
          <t>Yes</t>
        </is>
      </c>
      <c r="I24" s="2" t="n">
        <v>2</v>
      </c>
      <c r="J24" s="2" t="n">
        <v>1</v>
      </c>
      <c r="K24" s="2" t="inlineStr">
        <is>
          <t>Marketing</t>
        </is>
      </c>
      <c r="L24" s="2" t="inlineStr">
        <is>
          <t>Single</t>
        </is>
      </c>
      <c r="M24" s="2" t="inlineStr">
        <is>
          <t>Female</t>
        </is>
      </c>
    </row>
    <row r="25">
      <c r="A25" s="3" t="n">
        <v>24</v>
      </c>
      <c r="B25" s="3" t="n">
        <v>52</v>
      </c>
      <c r="C25" s="3" t="inlineStr">
        <is>
          <t>No</t>
        </is>
      </c>
      <c r="D25" s="3" t="inlineStr">
        <is>
          <t>Research &amp; Development</t>
        </is>
      </c>
      <c r="E25" s="3" t="inlineStr">
        <is>
          <t>Research Director</t>
        </is>
      </c>
      <c r="F25" s="3" t="n">
        <v>19999</v>
      </c>
      <c r="G25" s="3" t="n">
        <v>4</v>
      </c>
      <c r="H25" s="3" t="inlineStr">
        <is>
          <t>No</t>
        </is>
      </c>
      <c r="I25" s="3" t="n">
        <v>4</v>
      </c>
      <c r="J25" s="3" t="n">
        <v>20</v>
      </c>
      <c r="K25" s="3" t="inlineStr">
        <is>
          <t>Life Sciences</t>
        </is>
      </c>
      <c r="L25" s="3" t="inlineStr">
        <is>
          <t>Married</t>
        </is>
      </c>
      <c r="M25" s="3" t="inlineStr">
        <is>
          <t>Male</t>
        </is>
      </c>
    </row>
    <row r="26">
      <c r="A26" s="2" t="n">
        <v>25</v>
      </c>
      <c r="B26" s="2" t="n">
        <v>33</v>
      </c>
      <c r="C26" s="2" t="inlineStr">
        <is>
          <t>Yes</t>
        </is>
      </c>
      <c r="D26" s="2" t="inlineStr">
        <is>
          <t>Human Resources</t>
        </is>
      </c>
      <c r="E26" s="2" t="inlineStr">
        <is>
          <t>Human Resources</t>
        </is>
      </c>
      <c r="F26" s="2" t="n">
        <v>2800</v>
      </c>
      <c r="G26" s="2" t="n">
        <v>2</v>
      </c>
      <c r="H26" s="2" t="inlineStr">
        <is>
          <t>Yes</t>
        </is>
      </c>
      <c r="I26" s="2" t="n">
        <v>2</v>
      </c>
      <c r="J26" s="2" t="n">
        <v>3</v>
      </c>
      <c r="K26" s="2" t="inlineStr">
        <is>
          <t>Human Resources</t>
        </is>
      </c>
      <c r="L26" s="2" t="inlineStr">
        <is>
          <t>Single</t>
        </is>
      </c>
      <c r="M26" s="2" t="inlineStr">
        <is>
          <t>Female</t>
        </is>
      </c>
    </row>
    <row r="27">
      <c r="A27" s="3" t="n">
        <v>26</v>
      </c>
      <c r="B27" s="3" t="n">
        <v>40</v>
      </c>
      <c r="C27" s="3" t="inlineStr">
        <is>
          <t>No</t>
        </is>
      </c>
      <c r="D27" s="3" t="inlineStr">
        <is>
          <t>Research &amp; Development</t>
        </is>
      </c>
      <c r="E27" s="3" t="inlineStr">
        <is>
          <t>Laboratory Technician</t>
        </is>
      </c>
      <c r="F27" s="3" t="n">
        <v>4200</v>
      </c>
      <c r="G27" s="3" t="n">
        <v>3</v>
      </c>
      <c r="H27" s="3" t="inlineStr">
        <is>
          <t>No</t>
        </is>
      </c>
      <c r="I27" s="3" t="n">
        <v>3</v>
      </c>
      <c r="J27" s="3" t="n">
        <v>10</v>
      </c>
      <c r="K27" s="3" t="inlineStr">
        <is>
          <t>Medical</t>
        </is>
      </c>
      <c r="L27" s="3" t="inlineStr">
        <is>
          <t>Married</t>
        </is>
      </c>
      <c r="M27" s="3" t="inlineStr">
        <is>
          <t>Male</t>
        </is>
      </c>
    </row>
    <row r="28">
      <c r="A28" s="2" t="n">
        <v>27</v>
      </c>
      <c r="B28" s="2" t="n">
        <v>29</v>
      </c>
      <c r="C28" s="2" t="inlineStr">
        <is>
          <t>Yes</t>
        </is>
      </c>
      <c r="D28" s="2" t="inlineStr">
        <is>
          <t>Sales</t>
        </is>
      </c>
      <c r="E28" s="2" t="inlineStr">
        <is>
          <t>Sales Executive</t>
        </is>
      </c>
      <c r="F28" s="2" t="n">
        <v>3100</v>
      </c>
      <c r="G28" s="2" t="n">
        <v>2</v>
      </c>
      <c r="H28" s="2" t="inlineStr">
        <is>
          <t>Yes</t>
        </is>
      </c>
      <c r="I28" s="2" t="n">
        <v>1</v>
      </c>
      <c r="J28" s="2" t="n">
        <v>2</v>
      </c>
      <c r="K28" s="2" t="inlineStr">
        <is>
          <t>Marketing</t>
        </is>
      </c>
      <c r="L28" s="2" t="inlineStr">
        <is>
          <t>Single</t>
        </is>
      </c>
      <c r="M28" s="2" t="inlineStr">
        <is>
          <t>Male</t>
        </is>
      </c>
    </row>
    <row r="29">
      <c r="A29" s="3" t="n">
        <v>28</v>
      </c>
      <c r="B29" s="3" t="n">
        <v>36</v>
      </c>
      <c r="C29" s="3" t="inlineStr">
        <is>
          <t>No</t>
        </is>
      </c>
      <c r="D29" s="3" t="inlineStr">
        <is>
          <t>Research &amp; Development</t>
        </is>
      </c>
      <c r="E29" s="3" t="inlineStr">
        <is>
          <t>Research Scientist</t>
        </is>
      </c>
      <c r="F29" s="3" t="n">
        <v>6700</v>
      </c>
      <c r="G29" s="3" t="n">
        <v>4</v>
      </c>
      <c r="H29" s="3" t="inlineStr">
        <is>
          <t>No</t>
        </is>
      </c>
      <c r="I29" s="3" t="n">
        <v>4</v>
      </c>
      <c r="J29" s="3" t="n">
        <v>8</v>
      </c>
      <c r="K29" s="3" t="inlineStr">
        <is>
          <t>Life Sciences</t>
        </is>
      </c>
      <c r="L29" s="3" t="inlineStr">
        <is>
          <t>Married</t>
        </is>
      </c>
      <c r="M29" s="3" t="inlineStr">
        <is>
          <t>Female</t>
        </is>
      </c>
    </row>
    <row r="30">
      <c r="A30" s="3" t="n">
        <v>29</v>
      </c>
      <c r="B30" s="3" t="n">
        <v>43</v>
      </c>
      <c r="C30" s="3" t="inlineStr">
        <is>
          <t>No</t>
        </is>
      </c>
      <c r="D30" s="3" t="inlineStr">
        <is>
          <t>Research &amp; Development</t>
        </is>
      </c>
      <c r="E30" s="3" t="inlineStr">
        <is>
          <t>Manager</t>
        </is>
      </c>
      <c r="F30" s="3" t="n">
        <v>17000</v>
      </c>
      <c r="G30" s="3" t="n">
        <v>3</v>
      </c>
      <c r="H30" s="3" t="inlineStr">
        <is>
          <t>No</t>
        </is>
      </c>
      <c r="I30" s="3" t="n">
        <v>3</v>
      </c>
      <c r="J30" s="3" t="n">
        <v>15</v>
      </c>
      <c r="K30" s="3" t="inlineStr">
        <is>
          <t>Medical</t>
        </is>
      </c>
      <c r="L30" s="3" t="inlineStr">
        <is>
          <t>Married</t>
        </is>
      </c>
      <c r="M30" s="3" t="inlineStr">
        <is>
          <t>Male</t>
        </is>
      </c>
    </row>
    <row r="31">
      <c r="A31" s="2" t="n">
        <v>30</v>
      </c>
      <c r="B31" s="2" t="n">
        <v>25</v>
      </c>
      <c r="C31" s="2" t="inlineStr">
        <is>
          <t>Yes</t>
        </is>
      </c>
      <c r="D31" s="2" t="inlineStr">
        <is>
          <t>Sales</t>
        </is>
      </c>
      <c r="E31" s="2" t="inlineStr">
        <is>
          <t>Sales Representative</t>
        </is>
      </c>
      <c r="F31" s="2" t="n">
        <v>1900</v>
      </c>
      <c r="G31" s="2" t="n">
        <v>1</v>
      </c>
      <c r="H31" s="2" t="inlineStr">
        <is>
          <t>Yes</t>
        </is>
      </c>
      <c r="I31" s="2" t="n">
        <v>1</v>
      </c>
      <c r="J31" s="2" t="n">
        <v>0</v>
      </c>
      <c r="K31" s="2" t="inlineStr">
        <is>
          <t>Marketing</t>
        </is>
      </c>
      <c r="L31" s="2" t="inlineStr">
        <is>
          <t>Single</t>
        </is>
      </c>
      <c r="M31" s="2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EmployeeNumber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MonthlyIncome</t>
        </is>
      </c>
      <c r="G1" s="1" t="inlineStr">
        <is>
          <t>JobSatisfaction</t>
        </is>
      </c>
      <c r="H1" s="1" t="inlineStr">
        <is>
          <t>OverTime</t>
        </is>
      </c>
      <c r="I1" s="1" t="inlineStr">
        <is>
          <t>WorkLifeBalance</t>
        </is>
      </c>
      <c r="J1" s="1" t="inlineStr">
        <is>
          <t>YearsAtCompany</t>
        </is>
      </c>
      <c r="K1" s="4" t="inlineStr">
        <is>
          <t>Attrition_Flag</t>
        </is>
      </c>
      <c r="L1" s="4" t="inlineStr">
        <is>
          <t>Age_Group</t>
        </is>
      </c>
      <c r="M1" s="4" t="inlineStr">
        <is>
          <t>Salary_Band</t>
        </is>
      </c>
      <c r="N1" s="5" t="inlineStr">
        <is>
          <t>Risk_Score</t>
        </is>
      </c>
    </row>
    <row r="2">
      <c r="A2" s="2" t="n">
        <v>1</v>
      </c>
      <c r="B2" s="2" t="n">
        <v>41</v>
      </c>
      <c r="C2" s="2" t="inlineStr">
        <is>
          <t>Yes</t>
        </is>
      </c>
      <c r="D2" s="2" t="inlineStr">
        <is>
          <t>Sales</t>
        </is>
      </c>
      <c r="E2" s="2" t="inlineStr">
        <is>
          <t>Sales Executive</t>
        </is>
      </c>
      <c r="F2" s="2" t="n">
        <v>5993</v>
      </c>
      <c r="G2" s="2" t="n">
        <v>4</v>
      </c>
      <c r="H2" s="2" t="inlineStr">
        <is>
          <t>Yes</t>
        </is>
      </c>
      <c r="I2" s="2" t="n">
        <v>1</v>
      </c>
      <c r="J2" s="2" t="n">
        <v>6</v>
      </c>
      <c r="K2" s="2" t="n">
        <v>1</v>
      </c>
      <c r="L2" s="6" t="inlineStr">
        <is>
          <t>40-49</t>
        </is>
      </c>
      <c r="M2" s="7" t="inlineStr">
        <is>
          <t>Mid</t>
        </is>
      </c>
      <c r="N2" s="8" t="n">
        <v>45</v>
      </c>
    </row>
    <row r="3">
      <c r="A3" s="3" t="n">
        <v>2</v>
      </c>
      <c r="B3" s="3" t="n">
        <v>49</v>
      </c>
      <c r="C3" s="3" t="inlineStr">
        <is>
          <t>No</t>
        </is>
      </c>
      <c r="D3" s="3" t="inlineStr">
        <is>
          <t>Research &amp; Development</t>
        </is>
      </c>
      <c r="E3" s="3" t="inlineStr">
        <is>
          <t>Research Scientist</t>
        </is>
      </c>
      <c r="F3" s="3" t="n">
        <v>5130</v>
      </c>
      <c r="G3" s="3" t="n">
        <v>2</v>
      </c>
      <c r="H3" s="3" t="inlineStr">
        <is>
          <t>No</t>
        </is>
      </c>
      <c r="I3" s="3" t="n">
        <v>3</v>
      </c>
      <c r="J3" s="3" t="n">
        <v>10</v>
      </c>
      <c r="K3" s="9" t="n">
        <v>0</v>
      </c>
      <c r="L3" s="6" t="inlineStr">
        <is>
          <t>40-49</t>
        </is>
      </c>
      <c r="M3" s="7" t="inlineStr">
        <is>
          <t>Mid</t>
        </is>
      </c>
      <c r="N3" s="9" t="n">
        <v>25</v>
      </c>
    </row>
    <row r="4">
      <c r="A4" s="2" t="n">
        <v>3</v>
      </c>
      <c r="B4" s="2" t="n">
        <v>37</v>
      </c>
      <c r="C4" s="2" t="inlineStr">
        <is>
          <t>Yes</t>
        </is>
      </c>
      <c r="D4" s="2" t="inlineStr">
        <is>
          <t>Research &amp; Development</t>
        </is>
      </c>
      <c r="E4" s="2" t="inlineStr">
        <is>
          <t>Laboratory Technician</t>
        </is>
      </c>
      <c r="F4" s="2" t="n">
        <v>2090</v>
      </c>
      <c r="G4" s="2" t="n">
        <v>3</v>
      </c>
      <c r="H4" s="2" t="inlineStr">
        <is>
          <t>Yes</t>
        </is>
      </c>
      <c r="I4" s="2" t="n">
        <v>3</v>
      </c>
      <c r="J4" s="2" t="n">
        <v>0</v>
      </c>
      <c r="K4" s="2" t="n">
        <v>1</v>
      </c>
      <c r="L4" s="6" t="inlineStr">
        <is>
          <t>30-39</t>
        </is>
      </c>
      <c r="M4" s="7" t="inlineStr">
        <is>
          <t>Low</t>
        </is>
      </c>
      <c r="N4" s="2" t="n">
        <v>60</v>
      </c>
    </row>
    <row r="5">
      <c r="A5" s="3" t="n">
        <v>4</v>
      </c>
      <c r="B5" s="3" t="n">
        <v>33</v>
      </c>
      <c r="C5" s="3" t="inlineStr">
        <is>
          <t>No</t>
        </is>
      </c>
      <c r="D5" s="3" t="inlineStr">
        <is>
          <t>Research &amp; Development</t>
        </is>
      </c>
      <c r="E5" s="3" t="inlineStr">
        <is>
          <t>Research Scientist</t>
        </is>
      </c>
      <c r="F5" s="3" t="n">
        <v>2909</v>
      </c>
      <c r="G5" s="3" t="n">
        <v>3</v>
      </c>
      <c r="H5" s="3" t="inlineStr">
        <is>
          <t>Yes</t>
        </is>
      </c>
      <c r="I5" s="3" t="n">
        <v>3</v>
      </c>
      <c r="J5" s="3" t="n">
        <v>8</v>
      </c>
      <c r="K5" s="9" t="n">
        <v>0</v>
      </c>
      <c r="L5" s="6" t="inlineStr">
        <is>
          <t>30-39</t>
        </is>
      </c>
      <c r="M5" s="7" t="inlineStr">
        <is>
          <t>Low</t>
        </is>
      </c>
      <c r="N5" s="2" t="n">
        <v>50</v>
      </c>
    </row>
    <row r="6">
      <c r="A6" s="3" t="n">
        <v>5</v>
      </c>
      <c r="B6" s="3" t="n">
        <v>27</v>
      </c>
      <c r="C6" s="3" t="inlineStr">
        <is>
          <t>No</t>
        </is>
      </c>
      <c r="D6" s="3" t="inlineStr">
        <is>
          <t>Research &amp; Development</t>
        </is>
      </c>
      <c r="E6" s="3" t="inlineStr">
        <is>
          <t>Laboratory Technician</t>
        </is>
      </c>
      <c r="F6" s="3" t="n">
        <v>3468</v>
      </c>
      <c r="G6" s="3" t="n">
        <v>4</v>
      </c>
      <c r="H6" s="3" t="inlineStr">
        <is>
          <t>No</t>
        </is>
      </c>
      <c r="I6" s="3" t="n">
        <v>3</v>
      </c>
      <c r="J6" s="3" t="n">
        <v>2</v>
      </c>
      <c r="K6" s="9" t="n">
        <v>0</v>
      </c>
      <c r="L6" s="6" t="inlineStr">
        <is>
          <t>Under 30</t>
        </is>
      </c>
      <c r="M6" s="7" t="inlineStr">
        <is>
          <t>Mid</t>
        </is>
      </c>
      <c r="N6" s="9" t="n">
        <v>10</v>
      </c>
    </row>
    <row r="7">
      <c r="A7" s="3" t="n">
        <v>6</v>
      </c>
      <c r="B7" s="3" t="n">
        <v>32</v>
      </c>
      <c r="C7" s="3" t="inlineStr">
        <is>
          <t>No</t>
        </is>
      </c>
      <c r="D7" s="3" t="inlineStr">
        <is>
          <t>Research &amp; Development</t>
        </is>
      </c>
      <c r="E7" s="3" t="inlineStr">
        <is>
          <t>Laboratory Technician</t>
        </is>
      </c>
      <c r="F7" s="3" t="n">
        <v>3068</v>
      </c>
      <c r="G7" s="3" t="n">
        <v>1</v>
      </c>
      <c r="H7" s="3" t="inlineStr">
        <is>
          <t>No</t>
        </is>
      </c>
      <c r="I7" s="3" t="n">
        <v>2</v>
      </c>
      <c r="J7" s="3" t="n">
        <v>7</v>
      </c>
      <c r="K7" s="9" t="n">
        <v>0</v>
      </c>
      <c r="L7" s="6" t="inlineStr">
        <is>
          <t>30-39</t>
        </is>
      </c>
      <c r="M7" s="7" t="inlineStr">
        <is>
          <t>Mid</t>
        </is>
      </c>
      <c r="N7" s="8" t="n">
        <v>40</v>
      </c>
    </row>
    <row r="8">
      <c r="A8" s="3" t="n">
        <v>7</v>
      </c>
      <c r="B8" s="3" t="n">
        <v>59</v>
      </c>
      <c r="C8" s="3" t="inlineStr">
        <is>
          <t>No</t>
        </is>
      </c>
      <c r="D8" s="3" t="inlineStr">
        <is>
          <t>Research &amp; Development</t>
        </is>
      </c>
      <c r="E8" s="3" t="inlineStr">
        <is>
          <t>Research Scientist</t>
        </is>
      </c>
      <c r="F8" s="3" t="n">
        <v>2670</v>
      </c>
      <c r="G8" s="3" t="n">
        <v>3</v>
      </c>
      <c r="H8" s="3" t="inlineStr">
        <is>
          <t>Yes</t>
        </is>
      </c>
      <c r="I8" s="3" t="n">
        <v>2</v>
      </c>
      <c r="J8" s="3" t="n">
        <v>1</v>
      </c>
      <c r="K8" s="9" t="n">
        <v>0</v>
      </c>
      <c r="L8" s="6" t="inlineStr">
        <is>
          <t>50+</t>
        </is>
      </c>
      <c r="M8" s="7" t="inlineStr">
        <is>
          <t>Low</t>
        </is>
      </c>
      <c r="N8" s="2" t="n">
        <v>75</v>
      </c>
    </row>
    <row r="9">
      <c r="A9" s="3" t="n">
        <v>8</v>
      </c>
      <c r="B9" s="3" t="n">
        <v>30</v>
      </c>
      <c r="C9" s="3" t="inlineStr">
        <is>
          <t>No</t>
        </is>
      </c>
      <c r="D9" s="3" t="inlineStr">
        <is>
          <t>Research &amp; Development</t>
        </is>
      </c>
      <c r="E9" s="3" t="inlineStr">
        <is>
          <t>Laboratory Technician</t>
        </is>
      </c>
      <c r="F9" s="3" t="n">
        <v>2693</v>
      </c>
      <c r="G9" s="3" t="n">
        <v>4</v>
      </c>
      <c r="H9" s="3" t="inlineStr">
        <is>
          <t>No</t>
        </is>
      </c>
      <c r="I9" s="3" t="n">
        <v>3</v>
      </c>
      <c r="J9" s="3" t="n">
        <v>1</v>
      </c>
      <c r="K9" s="9" t="n">
        <v>0</v>
      </c>
      <c r="L9" s="6" t="inlineStr">
        <is>
          <t>30-39</t>
        </is>
      </c>
      <c r="M9" s="7" t="inlineStr">
        <is>
          <t>Low</t>
        </is>
      </c>
      <c r="N9" s="8" t="n">
        <v>30</v>
      </c>
    </row>
    <row r="10">
      <c r="A10" s="3" t="n">
        <v>9</v>
      </c>
      <c r="B10" s="3" t="n">
        <v>38</v>
      </c>
      <c r="C10" s="3" t="inlineStr">
        <is>
          <t>No</t>
        </is>
      </c>
      <c r="D10" s="3" t="inlineStr">
        <is>
          <t>Research &amp; Development</t>
        </is>
      </c>
      <c r="E10" s="3" t="inlineStr">
        <is>
          <t>Laboratory Technician</t>
        </is>
      </c>
      <c r="F10" s="3" t="n">
        <v>9526</v>
      </c>
      <c r="G10" s="3" t="n">
        <v>4</v>
      </c>
      <c r="H10" s="3" t="inlineStr">
        <is>
          <t>No</t>
        </is>
      </c>
      <c r="I10" s="3" t="n">
        <v>3</v>
      </c>
      <c r="J10" s="3" t="n">
        <v>9</v>
      </c>
      <c r="K10" s="9" t="n">
        <v>0</v>
      </c>
      <c r="L10" s="6" t="inlineStr">
        <is>
          <t>30-39</t>
        </is>
      </c>
      <c r="M10" s="7" t="inlineStr">
        <is>
          <t>High</t>
        </is>
      </c>
      <c r="N10" s="9" t="n">
        <v>0</v>
      </c>
    </row>
    <row r="11">
      <c r="A11" s="3" t="n">
        <v>10</v>
      </c>
      <c r="B11" s="3" t="n">
        <v>36</v>
      </c>
      <c r="C11" s="3" t="inlineStr">
        <is>
          <t>No</t>
        </is>
      </c>
      <c r="D11" s="3" t="inlineStr">
        <is>
          <t>Research &amp; Development</t>
        </is>
      </c>
      <c r="E11" s="3" t="inlineStr">
        <is>
          <t>Laboratory Technician</t>
        </is>
      </c>
      <c r="F11" s="3" t="n">
        <v>5237</v>
      </c>
      <c r="G11" s="3" t="n">
        <v>4</v>
      </c>
      <c r="H11" s="3" t="inlineStr">
        <is>
          <t>No</t>
        </is>
      </c>
      <c r="I11" s="3" t="n">
        <v>3</v>
      </c>
      <c r="J11" s="3" t="n">
        <v>7</v>
      </c>
      <c r="K11" s="9" t="n">
        <v>0</v>
      </c>
      <c r="L11" s="6" t="inlineStr">
        <is>
          <t>30-39</t>
        </is>
      </c>
      <c r="M11" s="7" t="inlineStr">
        <is>
          <t>Mid</t>
        </is>
      </c>
      <c r="N11" s="9" t="n">
        <v>0</v>
      </c>
    </row>
    <row r="12">
      <c r="A12" s="3" t="n">
        <v>11</v>
      </c>
      <c r="B12" s="3" t="n">
        <v>35</v>
      </c>
      <c r="C12" s="3" t="inlineStr">
        <is>
          <t>No</t>
        </is>
      </c>
      <c r="D12" s="3" t="inlineStr">
        <is>
          <t>Sales</t>
        </is>
      </c>
      <c r="E12" s="3" t="inlineStr">
        <is>
          <t>Sales Executive</t>
        </is>
      </c>
      <c r="F12" s="3" t="n">
        <v>2426</v>
      </c>
      <c r="G12" s="3" t="n">
        <v>3</v>
      </c>
      <c r="H12" s="3" t="inlineStr">
        <is>
          <t>No</t>
        </is>
      </c>
      <c r="I12" s="3" t="n">
        <v>3</v>
      </c>
      <c r="J12" s="3" t="n">
        <v>5</v>
      </c>
      <c r="K12" s="9" t="n">
        <v>0</v>
      </c>
      <c r="L12" s="6" t="inlineStr">
        <is>
          <t>30-39</t>
        </is>
      </c>
      <c r="M12" s="7" t="inlineStr">
        <is>
          <t>Low</t>
        </is>
      </c>
      <c r="N12" s="9" t="n">
        <v>20</v>
      </c>
    </row>
    <row r="13">
      <c r="A13" s="3" t="n">
        <v>12</v>
      </c>
      <c r="B13" s="3" t="n">
        <v>29</v>
      </c>
      <c r="C13" s="3" t="inlineStr">
        <is>
          <t>No</t>
        </is>
      </c>
      <c r="D13" s="3" t="inlineStr">
        <is>
          <t>Research &amp; Development</t>
        </is>
      </c>
      <c r="E13" s="3" t="inlineStr">
        <is>
          <t>Research Scientist</t>
        </is>
      </c>
      <c r="F13" s="3" t="n">
        <v>4054</v>
      </c>
      <c r="G13" s="3" t="n">
        <v>3</v>
      </c>
      <c r="H13" s="3" t="inlineStr">
        <is>
          <t>No</t>
        </is>
      </c>
      <c r="I13" s="3" t="n">
        <v>3</v>
      </c>
      <c r="J13" s="3" t="n">
        <v>9</v>
      </c>
      <c r="K13" s="9" t="n">
        <v>0</v>
      </c>
      <c r="L13" s="6" t="inlineStr">
        <is>
          <t>Under 30</t>
        </is>
      </c>
      <c r="M13" s="7" t="inlineStr">
        <is>
          <t>Mid</t>
        </is>
      </c>
      <c r="N13" s="9" t="n">
        <v>0</v>
      </c>
    </row>
    <row r="14">
      <c r="A14" s="3" t="n">
        <v>13</v>
      </c>
      <c r="B14" s="3" t="n">
        <v>31</v>
      </c>
      <c r="C14" s="3" t="inlineStr">
        <is>
          <t>No</t>
        </is>
      </c>
      <c r="D14" s="3" t="inlineStr">
        <is>
          <t>Research &amp; Development</t>
        </is>
      </c>
      <c r="E14" s="3" t="inlineStr">
        <is>
          <t>Laboratory Technician</t>
        </is>
      </c>
      <c r="F14" s="3" t="n">
        <v>1278</v>
      </c>
      <c r="G14" s="3" t="n">
        <v>2</v>
      </c>
      <c r="H14" s="3" t="inlineStr">
        <is>
          <t>No</t>
        </is>
      </c>
      <c r="I14" s="3" t="n">
        <v>2</v>
      </c>
      <c r="J14" s="3" t="n">
        <v>5</v>
      </c>
      <c r="K14" s="9" t="n">
        <v>0</v>
      </c>
      <c r="L14" s="6" t="inlineStr">
        <is>
          <t>30-39</t>
        </is>
      </c>
      <c r="M14" s="7" t="inlineStr">
        <is>
          <t>Low</t>
        </is>
      </c>
      <c r="N14" s="2" t="n">
        <v>60</v>
      </c>
    </row>
    <row r="15">
      <c r="A15" s="2" t="n">
        <v>14</v>
      </c>
      <c r="B15" s="2" t="n">
        <v>34</v>
      </c>
      <c r="C15" s="2" t="inlineStr">
        <is>
          <t>Yes</t>
        </is>
      </c>
      <c r="D15" s="2" t="inlineStr">
        <is>
          <t>Sales</t>
        </is>
      </c>
      <c r="E15" s="2" t="inlineStr">
        <is>
          <t>Sales Representative</t>
        </is>
      </c>
      <c r="F15" s="2" t="n">
        <v>2499</v>
      </c>
      <c r="G15" s="2" t="n">
        <v>3</v>
      </c>
      <c r="H15" s="2" t="inlineStr">
        <is>
          <t>Yes</t>
        </is>
      </c>
      <c r="I15" s="2" t="n">
        <v>3</v>
      </c>
      <c r="J15" s="2" t="n">
        <v>0</v>
      </c>
      <c r="K15" s="2" t="n">
        <v>1</v>
      </c>
      <c r="L15" s="6" t="inlineStr">
        <is>
          <t>30-39</t>
        </is>
      </c>
      <c r="M15" s="7" t="inlineStr">
        <is>
          <t>Low</t>
        </is>
      </c>
      <c r="N15" s="2" t="n">
        <v>60</v>
      </c>
    </row>
    <row r="16">
      <c r="A16" s="3" t="n">
        <v>15</v>
      </c>
      <c r="B16" s="3" t="n">
        <v>28</v>
      </c>
      <c r="C16" s="3" t="inlineStr">
        <is>
          <t>No</t>
        </is>
      </c>
      <c r="D16" s="3" t="inlineStr">
        <is>
          <t>Research &amp; Development</t>
        </is>
      </c>
      <c r="E16" s="3" t="inlineStr">
        <is>
          <t>Research Scientist</t>
        </is>
      </c>
      <c r="F16" s="3" t="n">
        <v>7567</v>
      </c>
      <c r="G16" s="3" t="n">
        <v>4</v>
      </c>
      <c r="H16" s="3" t="inlineStr">
        <is>
          <t>Yes</t>
        </is>
      </c>
      <c r="I16" s="3" t="n">
        <v>3</v>
      </c>
      <c r="J16" s="3" t="n">
        <v>2</v>
      </c>
      <c r="K16" s="9" t="n">
        <v>0</v>
      </c>
      <c r="L16" s="6" t="inlineStr">
        <is>
          <t>Under 30</t>
        </is>
      </c>
      <c r="M16" s="7" t="inlineStr">
        <is>
          <t>High</t>
        </is>
      </c>
      <c r="N16" s="8" t="n">
        <v>40</v>
      </c>
    </row>
    <row r="17">
      <c r="A17" s="3" t="n">
        <v>16</v>
      </c>
      <c r="B17" s="3" t="n">
        <v>29</v>
      </c>
      <c r="C17" s="3" t="inlineStr">
        <is>
          <t>No</t>
        </is>
      </c>
      <c r="D17" s="3" t="inlineStr">
        <is>
          <t>Research &amp; Development</t>
        </is>
      </c>
      <c r="E17" s="3" t="inlineStr">
        <is>
          <t>Laboratory Technician</t>
        </is>
      </c>
      <c r="F17" s="3" t="n">
        <v>6142</v>
      </c>
      <c r="G17" s="3" t="n">
        <v>3</v>
      </c>
      <c r="H17" s="3" t="inlineStr">
        <is>
          <t>No</t>
        </is>
      </c>
      <c r="I17" s="3" t="n">
        <v>3</v>
      </c>
      <c r="J17" s="3" t="n">
        <v>7</v>
      </c>
      <c r="K17" s="9" t="n">
        <v>0</v>
      </c>
      <c r="L17" s="6" t="inlineStr">
        <is>
          <t>Under 30</t>
        </is>
      </c>
      <c r="M17" s="7" t="inlineStr">
        <is>
          <t>High</t>
        </is>
      </c>
      <c r="N17" s="9" t="n">
        <v>0</v>
      </c>
    </row>
    <row r="18">
      <c r="A18" s="3" t="n">
        <v>17</v>
      </c>
      <c r="B18" s="3" t="n">
        <v>32</v>
      </c>
      <c r="C18" s="3" t="inlineStr">
        <is>
          <t>No</t>
        </is>
      </c>
      <c r="D18" s="3" t="inlineStr">
        <is>
          <t>Sales</t>
        </is>
      </c>
      <c r="E18" s="3" t="inlineStr">
        <is>
          <t>Sales Executive</t>
        </is>
      </c>
      <c r="F18" s="3" t="n">
        <v>5390</v>
      </c>
      <c r="G18" s="3" t="n">
        <v>3</v>
      </c>
      <c r="H18" s="3" t="inlineStr">
        <is>
          <t>No</t>
        </is>
      </c>
      <c r="I18" s="3" t="n">
        <v>3</v>
      </c>
      <c r="J18" s="3" t="n">
        <v>4</v>
      </c>
      <c r="K18" s="9" t="n">
        <v>0</v>
      </c>
      <c r="L18" s="6" t="inlineStr">
        <is>
          <t>30-39</t>
        </is>
      </c>
      <c r="M18" s="7" t="inlineStr">
        <is>
          <t>Mid</t>
        </is>
      </c>
      <c r="N18" s="9" t="n">
        <v>0</v>
      </c>
    </row>
    <row r="19">
      <c r="A19" s="3" t="n">
        <v>18</v>
      </c>
      <c r="B19" s="3" t="n">
        <v>22</v>
      </c>
      <c r="C19" s="3" t="inlineStr">
        <is>
          <t>No</t>
        </is>
      </c>
      <c r="D19" s="3" t="inlineStr">
        <is>
          <t>Research &amp; Development</t>
        </is>
      </c>
      <c r="E19" s="3" t="inlineStr">
        <is>
          <t>Laboratory Technician</t>
        </is>
      </c>
      <c r="F19" s="3" t="n">
        <v>4404</v>
      </c>
      <c r="G19" s="3" t="n">
        <v>3</v>
      </c>
      <c r="H19" s="3" t="inlineStr">
        <is>
          <t>No</t>
        </is>
      </c>
      <c r="I19" s="3" t="n">
        <v>2</v>
      </c>
      <c r="J19" s="3" t="n">
        <v>0</v>
      </c>
      <c r="K19" s="9" t="n">
        <v>0</v>
      </c>
      <c r="L19" s="6" t="inlineStr">
        <is>
          <t>Under 30</t>
        </is>
      </c>
      <c r="M19" s="7" t="inlineStr">
        <is>
          <t>Mid</t>
        </is>
      </c>
      <c r="N19" s="9" t="n">
        <v>25</v>
      </c>
    </row>
    <row r="20">
      <c r="A20" s="3" t="n">
        <v>19</v>
      </c>
      <c r="B20" s="3" t="n">
        <v>53</v>
      </c>
      <c r="C20" s="3" t="inlineStr">
        <is>
          <t>No</t>
        </is>
      </c>
      <c r="D20" s="3" t="inlineStr">
        <is>
          <t>Research &amp; Development</t>
        </is>
      </c>
      <c r="E20" s="3" t="inlineStr">
        <is>
          <t>Research Scientist</t>
        </is>
      </c>
      <c r="F20" s="3" t="n">
        <v>7484</v>
      </c>
      <c r="G20" s="3" t="n">
        <v>4</v>
      </c>
      <c r="H20" s="3" t="inlineStr">
        <is>
          <t>No</t>
        </is>
      </c>
      <c r="I20" s="3" t="n">
        <v>3</v>
      </c>
      <c r="J20" s="3" t="n">
        <v>27</v>
      </c>
      <c r="K20" s="9" t="n">
        <v>0</v>
      </c>
      <c r="L20" s="6" t="inlineStr">
        <is>
          <t>50+</t>
        </is>
      </c>
      <c r="M20" s="7" t="inlineStr">
        <is>
          <t>High</t>
        </is>
      </c>
      <c r="N20" s="9" t="n">
        <v>0</v>
      </c>
    </row>
    <row r="21">
      <c r="A21" s="3" t="n">
        <v>20</v>
      </c>
      <c r="B21" s="3" t="n">
        <v>38</v>
      </c>
      <c r="C21" s="3" t="inlineStr">
        <is>
          <t>No</t>
        </is>
      </c>
      <c r="D21" s="3" t="inlineStr">
        <is>
          <t>Human Resources</t>
        </is>
      </c>
      <c r="E21" s="3" t="inlineStr">
        <is>
          <t>Human Resources</t>
        </is>
      </c>
      <c r="F21" s="3" t="n">
        <v>3567</v>
      </c>
      <c r="G21" s="3" t="n">
        <v>3</v>
      </c>
      <c r="H21" s="3" t="inlineStr">
        <is>
          <t>No</t>
        </is>
      </c>
      <c r="I21" s="3" t="n">
        <v>3</v>
      </c>
      <c r="J21" s="3" t="n">
        <v>7</v>
      </c>
      <c r="K21" s="9" t="n">
        <v>0</v>
      </c>
      <c r="L21" s="6" t="inlineStr">
        <is>
          <t>30-39</t>
        </is>
      </c>
      <c r="M21" s="7" t="inlineStr">
        <is>
          <t>Mid</t>
        </is>
      </c>
      <c r="N21" s="9" t="n">
        <v>0</v>
      </c>
    </row>
    <row r="22">
      <c r="A22" s="2" t="n">
        <v>21</v>
      </c>
      <c r="B22" s="2" t="n">
        <v>24</v>
      </c>
      <c r="C22" s="2" t="inlineStr">
        <is>
          <t>Yes</t>
        </is>
      </c>
      <c r="D22" s="2" t="inlineStr">
        <is>
          <t>Sales</t>
        </is>
      </c>
      <c r="E22" s="2" t="inlineStr">
        <is>
          <t>Sales Representative</t>
        </is>
      </c>
      <c r="F22" s="2" t="n">
        <v>1500</v>
      </c>
      <c r="G22" s="2" t="n">
        <v>1</v>
      </c>
      <c r="H22" s="2" t="inlineStr">
        <is>
          <t>Yes</t>
        </is>
      </c>
      <c r="I22" s="2" t="n">
        <v>1</v>
      </c>
      <c r="J22" s="2" t="n">
        <v>0</v>
      </c>
      <c r="K22" s="2" t="n">
        <v>1</v>
      </c>
      <c r="L22" s="6" t="inlineStr">
        <is>
          <t>Under 30</t>
        </is>
      </c>
      <c r="M22" s="7" t="inlineStr">
        <is>
          <t>Low</t>
        </is>
      </c>
      <c r="N22" s="2" t="n">
        <v>100</v>
      </c>
    </row>
    <row r="23">
      <c r="A23" s="3" t="n">
        <v>22</v>
      </c>
      <c r="B23" s="3" t="n">
        <v>45</v>
      </c>
      <c r="C23" s="3" t="inlineStr">
        <is>
          <t>No</t>
        </is>
      </c>
      <c r="D23" s="3" t="inlineStr">
        <is>
          <t>Research &amp; Development</t>
        </is>
      </c>
      <c r="E23" s="3" t="inlineStr">
        <is>
          <t>Research Scientist</t>
        </is>
      </c>
      <c r="F23" s="3" t="n">
        <v>8900</v>
      </c>
      <c r="G23" s="3" t="n">
        <v>4</v>
      </c>
      <c r="H23" s="3" t="inlineStr">
        <is>
          <t>No</t>
        </is>
      </c>
      <c r="I23" s="3" t="n">
        <v>4</v>
      </c>
      <c r="J23" s="3" t="n">
        <v>18</v>
      </c>
      <c r="K23" s="9" t="n">
        <v>0</v>
      </c>
      <c r="L23" s="6" t="inlineStr">
        <is>
          <t>40-49</t>
        </is>
      </c>
      <c r="M23" s="7" t="inlineStr">
        <is>
          <t>High</t>
        </is>
      </c>
      <c r="N23" s="9" t="n">
        <v>0</v>
      </c>
    </row>
    <row r="24">
      <c r="A24" s="2" t="n">
        <v>23</v>
      </c>
      <c r="B24" s="2" t="n">
        <v>26</v>
      </c>
      <c r="C24" s="2" t="inlineStr">
        <is>
          <t>Yes</t>
        </is>
      </c>
      <c r="D24" s="2" t="inlineStr">
        <is>
          <t>Sales</t>
        </is>
      </c>
      <c r="E24" s="2" t="inlineStr">
        <is>
          <t>Sales Representative</t>
        </is>
      </c>
      <c r="F24" s="2" t="n">
        <v>2100</v>
      </c>
      <c r="G24" s="2" t="n">
        <v>1</v>
      </c>
      <c r="H24" s="2" t="inlineStr">
        <is>
          <t>Yes</t>
        </is>
      </c>
      <c r="I24" s="2" t="n">
        <v>2</v>
      </c>
      <c r="J24" s="2" t="n">
        <v>1</v>
      </c>
      <c r="K24" s="2" t="n">
        <v>1</v>
      </c>
      <c r="L24" s="6" t="inlineStr">
        <is>
          <t>Under 30</t>
        </is>
      </c>
      <c r="M24" s="7" t="inlineStr">
        <is>
          <t>Low</t>
        </is>
      </c>
      <c r="N24" s="2" t="n">
        <v>100</v>
      </c>
    </row>
    <row r="25">
      <c r="A25" s="3" t="n">
        <v>24</v>
      </c>
      <c r="B25" s="3" t="n">
        <v>52</v>
      </c>
      <c r="C25" s="3" t="inlineStr">
        <is>
          <t>No</t>
        </is>
      </c>
      <c r="D25" s="3" t="inlineStr">
        <is>
          <t>Research &amp; Development</t>
        </is>
      </c>
      <c r="E25" s="3" t="inlineStr">
        <is>
          <t>Research Director</t>
        </is>
      </c>
      <c r="F25" s="3" t="n">
        <v>19999</v>
      </c>
      <c r="G25" s="3" t="n">
        <v>4</v>
      </c>
      <c r="H25" s="3" t="inlineStr">
        <is>
          <t>No</t>
        </is>
      </c>
      <c r="I25" s="3" t="n">
        <v>4</v>
      </c>
      <c r="J25" s="3" t="n">
        <v>20</v>
      </c>
      <c r="K25" s="9" t="n">
        <v>0</v>
      </c>
      <c r="L25" s="6" t="inlineStr">
        <is>
          <t>50+</t>
        </is>
      </c>
      <c r="M25" s="7" t="inlineStr">
        <is>
          <t>Executive</t>
        </is>
      </c>
      <c r="N25" s="9" t="n">
        <v>0</v>
      </c>
    </row>
    <row r="26">
      <c r="A26" s="2" t="n">
        <v>25</v>
      </c>
      <c r="B26" s="2" t="n">
        <v>33</v>
      </c>
      <c r="C26" s="2" t="inlineStr">
        <is>
          <t>Yes</t>
        </is>
      </c>
      <c r="D26" s="2" t="inlineStr">
        <is>
          <t>Human Resources</t>
        </is>
      </c>
      <c r="E26" s="2" t="inlineStr">
        <is>
          <t>Human Resources</t>
        </is>
      </c>
      <c r="F26" s="2" t="n">
        <v>2800</v>
      </c>
      <c r="G26" s="2" t="n">
        <v>2</v>
      </c>
      <c r="H26" s="2" t="inlineStr">
        <is>
          <t>Yes</t>
        </is>
      </c>
      <c r="I26" s="2" t="n">
        <v>2</v>
      </c>
      <c r="J26" s="2" t="n">
        <v>3</v>
      </c>
      <c r="K26" s="2" t="n">
        <v>1</v>
      </c>
      <c r="L26" s="6" t="inlineStr">
        <is>
          <t>30-39</t>
        </is>
      </c>
      <c r="M26" s="7" t="inlineStr">
        <is>
          <t>Low</t>
        </is>
      </c>
      <c r="N26" s="2" t="n">
        <v>90</v>
      </c>
    </row>
    <row r="27">
      <c r="A27" s="3" t="n">
        <v>26</v>
      </c>
      <c r="B27" s="3" t="n">
        <v>40</v>
      </c>
      <c r="C27" s="3" t="inlineStr">
        <is>
          <t>No</t>
        </is>
      </c>
      <c r="D27" s="3" t="inlineStr">
        <is>
          <t>Research &amp; Development</t>
        </is>
      </c>
      <c r="E27" s="3" t="inlineStr">
        <is>
          <t>Laboratory Technician</t>
        </is>
      </c>
      <c r="F27" s="3" t="n">
        <v>4200</v>
      </c>
      <c r="G27" s="3" t="n">
        <v>3</v>
      </c>
      <c r="H27" s="3" t="inlineStr">
        <is>
          <t>No</t>
        </is>
      </c>
      <c r="I27" s="3" t="n">
        <v>3</v>
      </c>
      <c r="J27" s="3" t="n">
        <v>10</v>
      </c>
      <c r="K27" s="9" t="n">
        <v>0</v>
      </c>
      <c r="L27" s="6" t="inlineStr">
        <is>
          <t>40-49</t>
        </is>
      </c>
      <c r="M27" s="7" t="inlineStr">
        <is>
          <t>Mid</t>
        </is>
      </c>
      <c r="N27" s="9" t="n">
        <v>0</v>
      </c>
    </row>
    <row r="28">
      <c r="A28" s="2" t="n">
        <v>27</v>
      </c>
      <c r="B28" s="2" t="n">
        <v>29</v>
      </c>
      <c r="C28" s="2" t="inlineStr">
        <is>
          <t>Yes</t>
        </is>
      </c>
      <c r="D28" s="2" t="inlineStr">
        <is>
          <t>Sales</t>
        </is>
      </c>
      <c r="E28" s="2" t="inlineStr">
        <is>
          <t>Sales Executive</t>
        </is>
      </c>
      <c r="F28" s="2" t="n">
        <v>3100</v>
      </c>
      <c r="G28" s="2" t="n">
        <v>2</v>
      </c>
      <c r="H28" s="2" t="inlineStr">
        <is>
          <t>Yes</t>
        </is>
      </c>
      <c r="I28" s="2" t="n">
        <v>1</v>
      </c>
      <c r="J28" s="2" t="n">
        <v>2</v>
      </c>
      <c r="K28" s="2" t="n">
        <v>1</v>
      </c>
      <c r="L28" s="6" t="inlineStr">
        <is>
          <t>Under 30</t>
        </is>
      </c>
      <c r="M28" s="7" t="inlineStr">
        <is>
          <t>Mid</t>
        </is>
      </c>
      <c r="N28" s="2" t="n">
        <v>80</v>
      </c>
    </row>
    <row r="29">
      <c r="A29" s="3" t="n">
        <v>28</v>
      </c>
      <c r="B29" s="3" t="n">
        <v>36</v>
      </c>
      <c r="C29" s="3" t="inlineStr">
        <is>
          <t>No</t>
        </is>
      </c>
      <c r="D29" s="3" t="inlineStr">
        <is>
          <t>Research &amp; Development</t>
        </is>
      </c>
      <c r="E29" s="3" t="inlineStr">
        <is>
          <t>Research Scientist</t>
        </is>
      </c>
      <c r="F29" s="3" t="n">
        <v>6700</v>
      </c>
      <c r="G29" s="3" t="n">
        <v>4</v>
      </c>
      <c r="H29" s="3" t="inlineStr">
        <is>
          <t>No</t>
        </is>
      </c>
      <c r="I29" s="3" t="n">
        <v>4</v>
      </c>
      <c r="J29" s="3" t="n">
        <v>8</v>
      </c>
      <c r="K29" s="9" t="n">
        <v>0</v>
      </c>
      <c r="L29" s="6" t="inlineStr">
        <is>
          <t>30-39</t>
        </is>
      </c>
      <c r="M29" s="7" t="inlineStr">
        <is>
          <t>High</t>
        </is>
      </c>
      <c r="N29" s="9" t="n">
        <v>0</v>
      </c>
    </row>
    <row r="30">
      <c r="A30" s="3" t="n">
        <v>29</v>
      </c>
      <c r="B30" s="3" t="n">
        <v>43</v>
      </c>
      <c r="C30" s="3" t="inlineStr">
        <is>
          <t>No</t>
        </is>
      </c>
      <c r="D30" s="3" t="inlineStr">
        <is>
          <t>Research &amp; Development</t>
        </is>
      </c>
      <c r="E30" s="3" t="inlineStr">
        <is>
          <t>Manager</t>
        </is>
      </c>
      <c r="F30" s="3" t="n">
        <v>17000</v>
      </c>
      <c r="G30" s="3" t="n">
        <v>3</v>
      </c>
      <c r="H30" s="3" t="inlineStr">
        <is>
          <t>No</t>
        </is>
      </c>
      <c r="I30" s="3" t="n">
        <v>3</v>
      </c>
      <c r="J30" s="3" t="n">
        <v>15</v>
      </c>
      <c r="K30" s="9" t="n">
        <v>0</v>
      </c>
      <c r="L30" s="6" t="inlineStr">
        <is>
          <t>40-49</t>
        </is>
      </c>
      <c r="M30" s="7" t="inlineStr">
        <is>
          <t>Executive</t>
        </is>
      </c>
      <c r="N30" s="9" t="n">
        <v>0</v>
      </c>
    </row>
    <row r="31">
      <c r="A31" s="2" t="n">
        <v>30</v>
      </c>
      <c r="B31" s="2" t="n">
        <v>25</v>
      </c>
      <c r="C31" s="2" t="inlineStr">
        <is>
          <t>Yes</t>
        </is>
      </c>
      <c r="D31" s="2" t="inlineStr">
        <is>
          <t>Sales</t>
        </is>
      </c>
      <c r="E31" s="2" t="inlineStr">
        <is>
          <t>Sales Representative</t>
        </is>
      </c>
      <c r="F31" s="2" t="n">
        <v>1900</v>
      </c>
      <c r="G31" s="2" t="n">
        <v>1</v>
      </c>
      <c r="H31" s="2" t="inlineStr">
        <is>
          <t>Yes</t>
        </is>
      </c>
      <c r="I31" s="2" t="n">
        <v>1</v>
      </c>
      <c r="J31" s="2" t="n">
        <v>0</v>
      </c>
      <c r="K31" s="2" t="n">
        <v>1</v>
      </c>
      <c r="L31" s="6" t="inlineStr">
        <is>
          <t>Under 30</t>
        </is>
      </c>
      <c r="M31" s="7" t="inlineStr">
        <is>
          <t>Low</t>
        </is>
      </c>
      <c r="N3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</cols>
  <sheetData>
    <row r="1" ht="30" customHeight="1">
      <c r="A1" s="10" t="inlineStr">
        <is>
          <t>Employee Attrition — Summary Analysis</t>
        </is>
      </c>
    </row>
    <row r="2" ht="8" customHeight="1"/>
    <row r="3">
      <c r="A3" s="11" t="inlineStr">
        <is>
          <t>Attrition by Department</t>
        </is>
      </c>
    </row>
    <row r="4">
      <c r="A4" s="4" t="inlineStr">
        <is>
          <t>Department</t>
        </is>
      </c>
      <c r="B4" s="4" t="inlineStr">
        <is>
          <t>Total Employees</t>
        </is>
      </c>
      <c r="C4" s="4" t="inlineStr">
        <is>
          <t>Left</t>
        </is>
      </c>
      <c r="D4" s="4" t="inlineStr">
        <is>
          <t>Attrition Rate</t>
        </is>
      </c>
    </row>
    <row r="5">
      <c r="A5" s="12" t="inlineStr">
        <is>
          <t>Sales</t>
        </is>
      </c>
      <c r="B5" s="13" t="n">
        <v>446</v>
      </c>
      <c r="C5" s="14" t="n">
        <v>92</v>
      </c>
      <c r="D5" s="15">
        <f>C5/B5</f>
        <v/>
      </c>
    </row>
    <row r="6">
      <c r="A6" s="12" t="inlineStr">
        <is>
          <t>Human Resources</t>
        </is>
      </c>
      <c r="B6" s="13" t="n">
        <v>63</v>
      </c>
      <c r="C6" s="14" t="n">
        <v>12</v>
      </c>
      <c r="D6" s="16">
        <f>C6/B6</f>
        <v/>
      </c>
    </row>
    <row r="7">
      <c r="A7" s="12" t="inlineStr">
        <is>
          <t>Research &amp; Development</t>
        </is>
      </c>
      <c r="B7" s="13" t="n">
        <v>961</v>
      </c>
      <c r="C7" s="14" t="n">
        <v>133</v>
      </c>
      <c r="D7" s="16">
        <f>C7/B7</f>
        <v/>
      </c>
    </row>
    <row r="8" ht="10" customHeight="1"/>
    <row r="9">
      <c r="A9" s="11" t="inlineStr">
        <is>
          <t>Attrition by Overtime</t>
        </is>
      </c>
    </row>
    <row r="10">
      <c r="A10" s="5" t="inlineStr">
        <is>
          <t>Overtime</t>
        </is>
      </c>
      <c r="B10" s="5" t="inlineStr">
        <is>
          <t>Total Employees</t>
        </is>
      </c>
      <c r="C10" s="5" t="inlineStr">
        <is>
          <t>Left</t>
        </is>
      </c>
      <c r="D10" s="5" t="inlineStr">
        <is>
          <t>Attrition Rate</t>
        </is>
      </c>
    </row>
    <row r="11">
      <c r="A11" s="17" t="inlineStr">
        <is>
          <t>Yes</t>
        </is>
      </c>
      <c r="B11" s="13" t="n">
        <v>416</v>
      </c>
      <c r="C11" s="14" t="n">
        <v>127</v>
      </c>
      <c r="D11" s="15">
        <f>C11/B11</f>
        <v/>
      </c>
    </row>
    <row r="12">
      <c r="A12" s="18" t="inlineStr">
        <is>
          <t>No</t>
        </is>
      </c>
      <c r="B12" s="13" t="n">
        <v>1054</v>
      </c>
      <c r="C12" s="14" t="n">
        <v>110</v>
      </c>
      <c r="D12" s="19">
        <f>C12/B12</f>
        <v/>
      </c>
    </row>
    <row r="13" ht="10" customHeight="1"/>
    <row r="14">
      <c r="A14" s="11" t="inlineStr">
        <is>
          <t>Attrition by Salary Band</t>
        </is>
      </c>
    </row>
    <row r="15">
      <c r="A15" s="1" t="inlineStr">
        <is>
          <t>Salary Band</t>
        </is>
      </c>
      <c r="B15" s="1" t="inlineStr">
        <is>
          <t>Total Employees</t>
        </is>
      </c>
      <c r="C15" s="1" t="inlineStr">
        <is>
          <t>Left</t>
        </is>
      </c>
      <c r="D15" s="1" t="inlineStr">
        <is>
          <t>Attrition Rate</t>
        </is>
      </c>
    </row>
    <row r="16">
      <c r="A16" s="20" t="inlineStr">
        <is>
          <t>Low (&lt; $3,000)</t>
        </is>
      </c>
      <c r="B16" s="13" t="n">
        <v>397</v>
      </c>
      <c r="C16" s="14" t="n">
        <v>115</v>
      </c>
      <c r="D16" s="21">
        <f>C16/B16</f>
        <v/>
      </c>
    </row>
    <row r="17">
      <c r="A17" s="22" t="inlineStr">
        <is>
          <t>Mid ($3,000–$5,999)</t>
        </is>
      </c>
      <c r="B17" s="13" t="n">
        <v>556</v>
      </c>
      <c r="C17" s="14" t="n">
        <v>87</v>
      </c>
      <c r="D17" s="23">
        <f>C17/B17</f>
        <v/>
      </c>
    </row>
    <row r="18">
      <c r="A18" s="24" t="inlineStr">
        <is>
          <t>High ($6,000–$9,999)</t>
        </is>
      </c>
      <c r="B18" s="13" t="n">
        <v>390</v>
      </c>
      <c r="C18" s="14" t="n">
        <v>29</v>
      </c>
      <c r="D18" s="25">
        <f>C18/B18</f>
        <v/>
      </c>
    </row>
    <row r="19">
      <c r="A19" s="26" t="inlineStr">
        <is>
          <t>Executive ($10,000+)</t>
        </is>
      </c>
      <c r="B19" s="13" t="n">
        <v>127</v>
      </c>
      <c r="C19" s="14" t="n">
        <v>6</v>
      </c>
      <c r="D19" s="27">
        <f>C19/B19</f>
        <v/>
      </c>
    </row>
    <row r="21" ht="10" customHeight="1"/>
    <row r="22">
      <c r="A22" s="28" t="inlineStr">
        <is>
          <t>Key Insights</t>
        </is>
      </c>
    </row>
    <row r="23">
      <c r="A23" s="29" t="inlineStr">
        <is>
          <t>1. Sales dept has 20.6% attrition — highest risk department</t>
        </is>
      </c>
      <c r="B23" s="30" t="n"/>
      <c r="C23" s="30" t="n"/>
      <c r="D23" s="31" t="n"/>
    </row>
    <row r="24">
      <c r="A24" s="32" t="inlineStr">
        <is>
          <t>2. Overtime employees are 3x more likely to leave (30% vs 10%)</t>
        </is>
      </c>
      <c r="B24" s="30" t="n"/>
      <c r="C24" s="30" t="n"/>
      <c r="D24" s="31" t="n"/>
    </row>
    <row r="25">
      <c r="A25" s="29" t="inlineStr">
        <is>
          <t>3. Low salary band = 29% attrition vs 5% for Executive band</t>
        </is>
      </c>
      <c r="B25" s="30" t="n"/>
      <c r="C25" s="30" t="n"/>
      <c r="D25" s="31" t="n"/>
    </row>
    <row r="26">
      <c r="A26" s="32" t="inlineStr">
        <is>
          <t>4. Under-30 employees have 26% attrition — double company average</t>
        </is>
      </c>
      <c r="B26" s="30" t="n"/>
      <c r="C26" s="30" t="n"/>
      <c r="D26" s="31" t="n"/>
    </row>
    <row r="27">
      <c r="A27" s="29" t="inlineStr">
        <is>
          <t>5. Low job satisfaction (score 1) = 22% attrition vs 11% for score 4</t>
        </is>
      </c>
      <c r="B27" s="30" t="n"/>
      <c r="C27" s="30" t="n"/>
      <c r="D27" s="31" t="n"/>
    </row>
  </sheetData>
  <mergeCells count="6">
    <mergeCell ref="A1:D1"/>
    <mergeCell ref="A23:D23"/>
    <mergeCell ref="A27:D27"/>
    <mergeCell ref="A26:D26"/>
    <mergeCell ref="A25:D25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</cols>
  <sheetData>
    <row r="1" ht="28" customHeight="1">
      <c r="A1" s="33" t="inlineStr">
        <is>
          <t>Excel Formulas Used in This Project</t>
        </is>
      </c>
    </row>
    <row r="2">
      <c r="A2" s="1" t="inlineStr">
        <is>
          <t>Column Name</t>
        </is>
      </c>
      <c r="B2" s="1" t="inlineStr">
        <is>
          <t>Formula</t>
        </is>
      </c>
      <c r="C2" s="1" t="inlineStr">
        <is>
          <t>Purpose</t>
        </is>
      </c>
    </row>
    <row r="3" ht="30" customHeight="1">
      <c r="A3" s="34" t="inlineStr">
        <is>
          <t>Attrition_Flag</t>
        </is>
      </c>
      <c r="B3" s="35">
        <f>IF(C2="Yes",1,0)</f>
        <v/>
      </c>
      <c r="C3" s="36" t="inlineStr">
        <is>
          <t>Converts Yes/No to 1/0 for calculations</t>
        </is>
      </c>
    </row>
    <row r="4" ht="30" customHeight="1">
      <c r="A4" s="34" t="inlineStr">
        <is>
          <t>Age_Group</t>
        </is>
      </c>
      <c r="B4" s="35">
        <f>IF(B2&lt;30,"Under 30",IF(B2&lt;40,"30-39",IF(B2&lt;50,"40-49","50+")))</f>
        <v/>
      </c>
      <c r="C4" s="36" t="inlineStr">
        <is>
          <t>Groups age into 4 buckets</t>
        </is>
      </c>
    </row>
    <row r="5" ht="30" customHeight="1">
      <c r="A5" s="34" t="inlineStr">
        <is>
          <t>Salary_Band</t>
        </is>
      </c>
      <c r="B5" s="35">
        <f>IF(F2&lt;3000,"Low",IF(F2&lt;6000,"Mid",IF(F2&lt;10000,"High","Executive")))</f>
        <v/>
      </c>
      <c r="C5" s="36" t="inlineStr">
        <is>
          <t>Groups salary into 4 bands</t>
        </is>
      </c>
    </row>
    <row r="6" ht="30" customHeight="1">
      <c r="A6" s="34" t="inlineStr">
        <is>
          <t>Attrition Rate</t>
        </is>
      </c>
      <c r="B6" s="35">
        <f>AVERAGE(K2:K1471)</f>
        <v/>
      </c>
      <c r="C6" s="36" t="inlineStr">
        <is>
          <t>Overall attrition as a decimal</t>
        </is>
      </c>
    </row>
    <row r="7" ht="30" customHeight="1">
      <c r="A7" s="34" t="inlineStr">
        <is>
          <t>Dept Count</t>
        </is>
      </c>
      <c r="B7" s="35">
        <f>COUNTIF(D:D,"Sales")</f>
        <v/>
      </c>
      <c r="C7" s="36" t="inlineStr">
        <is>
          <t>Count employees by department</t>
        </is>
      </c>
    </row>
    <row r="8" ht="30" customHeight="1">
      <c r="A8" s="34" t="inlineStr">
        <is>
          <t>Dept Attrition</t>
        </is>
      </c>
      <c r="B8" s="35">
        <f>COUNTIFS(D:D,"Sales",C:C,"Yes")</f>
        <v/>
      </c>
      <c r="C8" s="36" t="inlineStr">
        <is>
          <t>Count attrition in specific dept</t>
        </is>
      </c>
    </row>
    <row r="9" ht="30" customHeight="1">
      <c r="A9" s="34" t="inlineStr">
        <is>
          <t>Attrition %</t>
        </is>
      </c>
      <c r="B9" s="35">
        <f>COUNTIFS(D:D,A2,C:C,"Yes")/COUNTIF(D:D,A2)</f>
        <v/>
      </c>
      <c r="C9" s="36" t="inlineStr">
        <is>
          <t>Attrition rate by department</t>
        </is>
      </c>
    </row>
    <row r="10" ht="30" customHeight="1">
      <c r="A10" s="34" t="inlineStr">
        <is>
          <t>Risk Score</t>
        </is>
      </c>
      <c r="B10" s="35">
        <f>IF(H2="Yes",30,0)+IF(G2&lt;=2,25,0)+IF(F2&lt;3000,20,0)+IF(I2&lt;=2,15,0)+IF(J2&lt;=2,10,0)</f>
        <v/>
      </c>
      <c r="C10" s="36" t="inlineStr">
        <is>
          <t>Weighted attrition risk score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2026-03-17T03:51:35Z</dcterms:created>
  <dcterms:modified xmlns:dcterms="http://purl.org/dc/terms/" xmlns:xsi="http://www.w3.org/2001/XMLSchema-instance" xsi:type="dcterms:W3CDTF">2026-03-17T03:51:35Z</dcterms:modified>
</cp:coreProperties>
</file>